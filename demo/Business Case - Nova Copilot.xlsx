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Model" sheetId="2" state="visible" r:id="rId2"/>
    <sheet name="Sensitivity" sheetId="3" state="visible" r:id="rId3"/>
    <sheet name="Budget a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B3A6E"/>
      </patternFill>
    </fill>
    <fill>
      <patternFill patternType="solid">
        <fgColor rgb="00FFF6DD"/>
      </patternFill>
    </fill>
    <fill>
      <patternFill patternType="solid">
        <fgColor rgb="00E7F6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9" fontId="0" fillId="3" borderId="0" applyAlignment="1" pivotButton="0" quotePrefix="0" xfId="0">
      <alignment vertical="top" wrapText="1"/>
    </xf>
    <xf numFmtId="3" fontId="0" fillId="4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3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0" customWidth="1" min="3" max="3"/>
    <col width="80" customWidth="1" min="4" max="4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 / note</t>
        </is>
      </c>
    </row>
    <row r="2">
      <c r="A2" s="2" t="inlineStr">
        <is>
          <t>Contacts per month</t>
        </is>
      </c>
      <c r="B2" s="3" t="n">
        <v>45000</v>
      </c>
      <c r="C2" s="2" t="inlineStr">
        <is>
          <t>contacts</t>
        </is>
      </c>
      <c r="D2" s="2" t="inlineStr">
        <is>
          <t>Brief</t>
        </is>
      </c>
    </row>
    <row r="3">
      <c r="A3" s="2" t="inlineStr">
        <is>
          <t>Share in scope (disputes, fees, cards)</t>
        </is>
      </c>
      <c r="B3" s="4" t="n">
        <v>0.6</v>
      </c>
      <c r="C3" s="2" t="inlineStr">
        <is>
          <t>%</t>
        </is>
      </c>
      <c r="D3" s="2" t="inlineStr">
        <is>
          <t>Brief (our ticket sample: 56%)</t>
        </is>
      </c>
    </row>
    <row r="4">
      <c r="A4" s="2" t="inlineStr">
        <is>
          <t>Contact growth per year</t>
        </is>
      </c>
      <c r="B4" s="4" t="n">
        <v>0.15</v>
      </c>
      <c r="C4" s="2" t="inlineStr">
        <is>
          <t>%</t>
        </is>
      </c>
      <c r="D4" s="2" t="inlineStr">
        <is>
          <t>Brief</t>
        </is>
      </c>
    </row>
    <row r="5">
      <c r="A5" s="2" t="inlineStr">
        <is>
          <t>Agents</t>
        </is>
      </c>
      <c r="B5" s="3" t="n">
        <v>120</v>
      </c>
      <c r="C5" s="2" t="inlineStr">
        <is>
          <t>agents</t>
        </is>
      </c>
      <c r="D5" s="2" t="inlineStr">
        <is>
          <t>Brief</t>
        </is>
      </c>
    </row>
    <row r="6">
      <c r="A6" s="2" t="inlineStr">
        <is>
          <t>Fully loaded cost per agent per month</t>
        </is>
      </c>
      <c r="B6" s="3" t="n">
        <v>20000</v>
      </c>
      <c r="C6" s="2" t="inlineStr">
        <is>
          <t>EGP</t>
        </is>
      </c>
      <c r="D6" s="2" t="inlineStr">
        <is>
          <t>ASSUMPTION - asked the instructor; test 15k-30k</t>
        </is>
      </c>
    </row>
    <row r="7">
      <c r="A7" s="2" t="inlineStr">
        <is>
          <t>Average handle time, all contacts</t>
        </is>
      </c>
      <c r="B7" s="3" t="n">
        <v>8.869999999999999</v>
      </c>
      <c r="C7" s="2" t="inlineStr">
        <is>
          <t>min</t>
        </is>
      </c>
      <c r="D7" s="2" t="inlineStr">
        <is>
          <t>Our synthetic tickets (200)</t>
        </is>
      </c>
    </row>
    <row r="8">
      <c r="A8" s="2" t="inlineStr">
        <is>
          <t>Average handle time, in-scope contacts</t>
        </is>
      </c>
      <c r="B8" s="3" t="n">
        <v>9.75</v>
      </c>
      <c r="C8" s="2" t="inlineStr">
        <is>
          <t>min</t>
        </is>
      </c>
      <c r="D8" s="2" t="inlineStr">
        <is>
          <t>Our synthetic tickets</t>
        </is>
      </c>
    </row>
    <row r="9">
      <c r="A9" s="2" t="inlineStr">
        <is>
          <t>Minutes saved per assisted contact (base)</t>
        </is>
      </c>
      <c r="B9" s="3" t="n">
        <v>2</v>
      </c>
      <c r="C9" s="2" t="inlineStr">
        <is>
          <t>min</t>
        </is>
      </c>
      <c r="D9" s="2" t="inlineStr">
        <is>
          <t>ASSUMPTION; BofA EricaAssist ~1 min/call is the floor (research/competitors.md)</t>
        </is>
      </c>
    </row>
    <row r="10">
      <c r="A10" s="2" t="inlineStr">
        <is>
          <t>Share of in-scope contacts where agents use the copilot</t>
        </is>
      </c>
      <c r="B10" s="4" t="n">
        <v>0.8</v>
      </c>
      <c r="C10" s="2" t="inlineStr">
        <is>
          <t>%</t>
        </is>
      </c>
      <c r="D10" s="2" t="inlineStr">
        <is>
          <t>ASSUMPTION</t>
        </is>
      </c>
    </row>
    <row r="11">
      <c r="A11" s="2" t="inlineStr">
        <is>
          <t>Copilot drafts per contact</t>
        </is>
      </c>
      <c r="B11" s="3" t="n">
        <v>1.3</v>
      </c>
      <c r="C11" s="2" t="inlineStr">
        <is>
          <t>drafts</t>
        </is>
      </c>
      <c r="D11" s="2" t="inlineStr">
        <is>
          <t>ASSUMPTION (some retries and follow-ups)</t>
        </is>
      </c>
    </row>
    <row r="12">
      <c r="A12" s="2" t="inlineStr">
        <is>
          <t>Model cost per draft</t>
        </is>
      </c>
      <c r="B12" s="3" t="n">
        <v>0.0344</v>
      </c>
      <c r="C12" s="2" t="inlineStr">
        <is>
          <t>USD</t>
        </is>
      </c>
      <c r="D12" s="2" t="inlineStr">
        <is>
          <t>MEASURED in our eval run (Claude Opus 5.5 incl. guard model)</t>
        </is>
      </c>
    </row>
    <row r="13">
      <c r="A13" s="2" t="inlineStr">
        <is>
          <t>EGP per USD</t>
        </is>
      </c>
      <c r="B13" s="3" t="n">
        <v>56.12</v>
      </c>
      <c r="C13" s="2" t="inlineStr">
        <is>
          <t>EGP</t>
        </is>
      </c>
      <c r="D13" s="2" t="inlineStr">
        <is>
          <t>CBE rate 29 Oct 2026 (research/regulation.md)</t>
        </is>
      </c>
    </row>
    <row r="14">
      <c r="A14" s="2" t="inlineStr">
        <is>
          <t>In-country hosting and ops per month (production)</t>
        </is>
      </c>
      <c r="B14" s="3" t="n">
        <v>250000</v>
      </c>
      <c r="C14" s="2" t="inlineStr">
        <is>
          <t>EGP</t>
        </is>
      </c>
      <c r="D14" s="2" t="inlineStr">
        <is>
          <t>ASSUMPTION - range 150k-400k until Huawei Cairo / self-host quotes</t>
        </is>
      </c>
    </row>
    <row r="15">
      <c r="A15" s="2" t="inlineStr">
        <is>
          <t>One-off build (4 people x 3 months)</t>
        </is>
      </c>
      <c r="B15" s="3" t="n">
        <v>960000</v>
      </c>
      <c r="C15" s="2" t="inlineStr">
        <is>
          <t>EGP</t>
        </is>
      </c>
      <c r="D15" s="2" t="inlineStr">
        <is>
          <t>ASSUMPTION</t>
        </is>
      </c>
    </row>
    <row r="16">
      <c r="A16" s="2" t="inlineStr">
        <is>
          <t>Phase 2: share of in-scope contacts resolved in the app</t>
        </is>
      </c>
      <c r="B16" s="4" t="n">
        <v>0.3</v>
      </c>
      <c r="C16" s="2" t="inlineStr">
        <is>
          <t>%</t>
        </is>
      </c>
      <c r="D16" s="2" t="inlineStr">
        <is>
          <t>ASSUMPTION; Klarna/Erica show higher, we stay conservative</t>
        </is>
      </c>
    </row>
    <row r="17">
      <c r="A17" s="2" t="inlineStr">
        <is>
          <t>Phase 2 starts in month</t>
        </is>
      </c>
      <c r="B17" s="3" t="n">
        <v>7</v>
      </c>
      <c r="C17" s="2" t="inlineStr">
        <is>
          <t>month</t>
        </is>
      </c>
      <c r="D17" s="2" t="inlineStr">
        <is>
          <t>Roadmap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50" customWidth="1" min="4" max="4"/>
  </cols>
  <sheetData>
    <row r="1">
      <c r="A1" s="1" t="inlineStr">
        <is>
          <t>Output</t>
        </is>
      </c>
      <c r="B1" s="1" t="inlineStr">
        <is>
          <t>Year 1 (today's volume)</t>
        </is>
      </c>
      <c r="C1" s="1" t="inlineStr">
        <is>
          <t>Year 2 (+15% volume)</t>
        </is>
      </c>
      <c r="D1" s="1" t="inlineStr">
        <is>
          <t>How it's calculated</t>
        </is>
      </c>
    </row>
    <row r="2">
      <c r="A2" s="2" t="inlineStr">
        <is>
          <t>In-scope contacts per month</t>
        </is>
      </c>
      <c r="B2" s="5">
        <f>Assumptions!$B$2*Assumptions!$B$3</f>
        <v/>
      </c>
      <c r="C2" s="5">
        <f>Assumptions!$B$2*(1+Assumptions!$B$4)*Assumptions!$B$3</f>
        <v/>
      </c>
      <c r="D2" s="2" t="inlineStr">
        <is>
          <t>contacts x scope share</t>
        </is>
      </c>
    </row>
    <row r="3">
      <c r="A3" s="2" t="inlineStr">
        <is>
          <t>Agent minutes per month (no copilot)</t>
        </is>
      </c>
      <c r="B3" s="5">
        <f>Assumptions!$B$2*Assumptions!$B$7</f>
        <v/>
      </c>
      <c r="C3" s="5">
        <f>Assumptions!$B$2*(1+Assumptions!$B$4)*Assumptions!$B$7</f>
        <v/>
      </c>
      <c r="D3" s="2" t="inlineStr">
        <is>
          <t>contacts x AHT</t>
        </is>
      </c>
    </row>
    <row r="4">
      <c r="A4" s="2" t="inlineStr">
        <is>
          <t>Minutes per agent per month (capacity)</t>
        </is>
      </c>
      <c r="B4" s="5">
        <f>Assumptions!$B$2*Assumptions!$B$7/Assumptions!$B$5</f>
        <v/>
      </c>
      <c r="C4" s="5">
        <f>C4</f>
        <v/>
      </c>
      <c r="D4" s="2" t="inlineStr">
        <is>
          <t>today's minutes / 120 agents</t>
        </is>
      </c>
    </row>
    <row r="5">
      <c r="A5" s="2" t="inlineStr">
        <is>
          <t>Agents needed without copilot</t>
        </is>
      </c>
      <c r="B5" s="6">
        <f>B3/B4</f>
        <v/>
      </c>
      <c r="C5" s="6">
        <f>C3/C4</f>
        <v/>
      </c>
      <c r="D5" s="2" t="inlineStr">
        <is>
          <t>minutes / capacity</t>
        </is>
      </c>
    </row>
    <row r="6">
      <c r="A6" s="7" t="inlineStr">
        <is>
          <t>PHASE 1 - agent copilot</t>
        </is>
      </c>
      <c r="B6" s="2" t="n"/>
      <c r="C6" s="2" t="n"/>
      <c r="D6" s="2" t="n"/>
    </row>
    <row r="7">
      <c r="A7" s="2" t="inlineStr">
        <is>
          <t>Minutes saved per month</t>
        </is>
      </c>
      <c r="B7" s="5">
        <f>B2*Assumptions!$B$10*Assumptions!$B$9</f>
        <v/>
      </c>
      <c r="C7" s="5">
        <f>C2*Assumptions!$B$10*Assumptions!$B$9</f>
        <v/>
      </c>
      <c r="D7" s="2" t="inlineStr">
        <is>
          <t>in-scope x adoption x minutes saved</t>
        </is>
      </c>
    </row>
    <row r="8">
      <c r="A8" s="2" t="inlineStr">
        <is>
          <t>Agent capacity freed (FTE)</t>
        </is>
      </c>
      <c r="B8" s="6">
        <f>B7/B4</f>
        <v/>
      </c>
      <c r="C8" s="6">
        <f>C7/C4</f>
        <v/>
      </c>
      <c r="D8" s="2" t="inlineStr">
        <is>
          <t>minutes saved / capacity</t>
        </is>
      </c>
    </row>
    <row r="9">
      <c r="A9" s="2" t="inlineStr">
        <is>
          <t>Value of freed capacity per month (EGP)</t>
        </is>
      </c>
      <c r="B9" s="5">
        <f>B8*Assumptions!$B$6</f>
        <v/>
      </c>
      <c r="C9" s="5">
        <f>C8*Assumptions!$B$6</f>
        <v/>
      </c>
      <c r="D9" s="2" t="inlineStr">
        <is>
          <t>FTE x cost per agent</t>
        </is>
      </c>
    </row>
    <row r="10">
      <c r="A10" s="2" t="inlineStr">
        <is>
          <t>Hires avoided next year</t>
        </is>
      </c>
      <c r="B10" s="8" t="n"/>
      <c r="C10" s="6">
        <f>MIN(C8,C5-Assumptions!$B$5)</f>
        <v/>
      </c>
      <c r="D10" s="2" t="inlineStr">
        <is>
          <t>growth absorbed: freed FTE, capped at the hires growth needs</t>
        </is>
      </c>
    </row>
    <row r="11">
      <c r="A11" s="2" t="inlineStr">
        <is>
          <t>Model cost per month (EGP)</t>
        </is>
      </c>
      <c r="B11" s="5">
        <f>B2*Assumptions!$B$10*Assumptions!$B$11*Assumptions!$B$12*Assumptions!$B$13</f>
        <v/>
      </c>
      <c r="C11" s="5">
        <f>C2*Assumptions!$B$10*Assumptions!$B$11*Assumptions!$B$12*Assumptions!$B$13</f>
        <v/>
      </c>
      <c r="D11" s="2" t="inlineStr">
        <is>
          <t>drafts x measured cost</t>
        </is>
      </c>
    </row>
    <row r="12">
      <c r="A12" s="2" t="inlineStr">
        <is>
          <t>Cost per assisted contact (EGP)</t>
        </is>
      </c>
      <c r="B12" s="5">
        <f>B11/(B2*Assumptions!$B$10)</f>
        <v/>
      </c>
      <c r="C12" s="5">
        <f>C11/(C2*Assumptions!$B$10)</f>
        <v/>
      </c>
      <c r="D12" s="2" t="inlineStr">
        <is>
          <t>model cost / assisted contacts</t>
        </is>
      </c>
    </row>
    <row r="13">
      <c r="A13" s="2" t="inlineStr">
        <is>
          <t>Agent cost per contact today (EGP)</t>
        </is>
      </c>
      <c r="B13" s="5">
        <f>Assumptions!$B$5*Assumptions!$B$6/Assumptions!$B$2</f>
        <v/>
      </c>
      <c r="C13" s="9" t="n"/>
      <c r="D13" s="2" t="inlineStr">
        <is>
          <t>agent payroll / contacts</t>
        </is>
      </c>
    </row>
    <row r="14">
      <c r="A14" s="7" t="inlineStr">
        <is>
          <t>PHASE 2 - customer-facing (from month 7)</t>
        </is>
      </c>
      <c r="B14" s="2" t="n"/>
      <c r="C14" s="2" t="n"/>
      <c r="D14" s="2" t="n"/>
    </row>
    <row r="15">
      <c r="A15" s="2" t="inlineStr">
        <is>
          <t>Contacts resolved in the app per month</t>
        </is>
      </c>
      <c r="B15" s="5">
        <f>B2*Assumptions!$B$16</f>
        <v/>
      </c>
      <c r="C15" s="5">
        <f>C2*Assumptions!$B$16</f>
        <v/>
      </c>
      <c r="D15" s="2" t="inlineStr">
        <is>
          <t>in-scope x deflection</t>
        </is>
      </c>
    </row>
    <row r="16">
      <c r="A16" s="2" t="inlineStr">
        <is>
          <t>Agent capacity freed (FTE)</t>
        </is>
      </c>
      <c r="B16" s="6">
        <f>B15*Assumptions!$B$8/B4</f>
        <v/>
      </c>
      <c r="C16" s="6">
        <f>C15*Assumptions!$B$8/C4</f>
        <v/>
      </c>
      <c r="D16" s="2" t="inlineStr">
        <is>
          <t>deflected x in-scope AHT / capacity</t>
        </is>
      </c>
    </row>
    <row r="17">
      <c r="A17" s="2" t="inlineStr">
        <is>
          <t>Value per month (EGP)</t>
        </is>
      </c>
      <c r="B17" s="5">
        <f>B16*Assumptions!$B$6</f>
        <v/>
      </c>
      <c r="C17" s="5">
        <f>C16*Assumptions!$B$6</f>
        <v/>
      </c>
      <c r="D17" s="2" t="inlineStr">
        <is>
          <t>FTE x cost per agent</t>
        </is>
      </c>
    </row>
    <row r="18">
      <c r="A18" s="7" t="inlineStr">
        <is>
          <t>YEAR 1 TOTALS</t>
        </is>
      </c>
      <c r="B18" s="2" t="n"/>
      <c r="C18" s="2" t="n"/>
      <c r="D18" s="2" t="n"/>
    </row>
    <row r="19">
      <c r="A19" s="2" t="inlineStr">
        <is>
          <t>Value (EGP)</t>
        </is>
      </c>
      <c r="B19" s="5">
        <f>12*B9+(13-Assumptions!$B$17)*B17</f>
        <v/>
      </c>
      <c r="C19" s="9" t="n"/>
      <c r="D19" s="2" t="inlineStr">
        <is>
          <t>12 months Phase 1 + Phase 2 from start month</t>
        </is>
      </c>
    </row>
    <row r="20">
      <c r="A20" s="2" t="inlineStr">
        <is>
          <t>Cost (EGP)</t>
        </is>
      </c>
      <c r="B20" s="5">
        <f>Assumptions!$B$15+12*(Assumptions!$B$14+B11)</f>
        <v/>
      </c>
      <c r="C20" s="9" t="n"/>
      <c r="D20" s="2" t="inlineStr">
        <is>
          <t>build + hosting + model</t>
        </is>
      </c>
    </row>
    <row r="21">
      <c r="A21" s="2" t="inlineStr">
        <is>
          <t>Net (EGP)</t>
        </is>
      </c>
      <c r="B21" s="5">
        <f>B19-B20</f>
        <v/>
      </c>
      <c r="C21" s="9" t="n"/>
      <c r="D21" s="2" t="inlineStr">
        <is>
          <t>value - cost</t>
        </is>
      </c>
    </row>
    <row r="22">
      <c r="A22" s="2" t="inlineStr">
        <is>
          <t>Payback (months)</t>
        </is>
      </c>
      <c r="B22" s="6">
        <f>Assumptions!$B$15/((B19-12*(Assumptions!$B$14+B11))/12)</f>
        <v/>
      </c>
      <c r="C22" s="8" t="n"/>
      <c r="D22" s="2" t="inlineStr">
        <is>
          <t>build / average monthly net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7" t="inlineStr">
        <is>
          <t>Value of freed capacity per month (EGP), Year 1 - minutes saved per contact vs cost per agent</t>
        </is>
      </c>
      <c r="B1" s="2" t="n"/>
      <c r="C1" s="2" t="n"/>
      <c r="D1" s="2" t="n"/>
      <c r="E1" s="2" t="n"/>
    </row>
    <row r="2">
      <c r="A2" s="1" t="inlineStr">
        <is>
          <t>Minutes saved \ EGP per agent</t>
        </is>
      </c>
      <c r="B2" s="1" t="n">
        <v>15000</v>
      </c>
      <c r="C2" s="1" t="n">
        <v>20000</v>
      </c>
      <c r="D2" s="1" t="n">
        <v>25000</v>
      </c>
      <c r="E2" s="1" t="n">
        <v>30000</v>
      </c>
    </row>
    <row r="3">
      <c r="A3" s="2" t="n">
        <v>1</v>
      </c>
      <c r="B3" s="9">
        <f>Model!$B$2*Assumptions!$B$10*1.0/Model!$B$4*15000</f>
        <v/>
      </c>
      <c r="C3" s="9">
        <f>Model!$B$2*Assumptions!$B$10*1.0/Model!$B$4*20000</f>
        <v/>
      </c>
      <c r="D3" s="9">
        <f>Model!$B$2*Assumptions!$B$10*1.0/Model!$B$4*25000</f>
        <v/>
      </c>
      <c r="E3" s="9">
        <f>Model!$B$2*Assumptions!$B$10*1.0/Model!$B$4*30000</f>
        <v/>
      </c>
    </row>
    <row r="4">
      <c r="A4" s="2" t="n">
        <v>1.5</v>
      </c>
      <c r="B4" s="9">
        <f>Model!$B$2*Assumptions!$B$10*1.5/Model!$B$4*15000</f>
        <v/>
      </c>
      <c r="C4" s="9">
        <f>Model!$B$2*Assumptions!$B$10*1.5/Model!$B$4*20000</f>
        <v/>
      </c>
      <c r="D4" s="9">
        <f>Model!$B$2*Assumptions!$B$10*1.5/Model!$B$4*25000</f>
        <v/>
      </c>
      <c r="E4" s="9">
        <f>Model!$B$2*Assumptions!$B$10*1.5/Model!$B$4*30000</f>
        <v/>
      </c>
    </row>
    <row r="5">
      <c r="A5" s="2" t="n">
        <v>2</v>
      </c>
      <c r="B5" s="9">
        <f>Model!$B$2*Assumptions!$B$10*2.0/Model!$B$4*15000</f>
        <v/>
      </c>
      <c r="C5" s="9">
        <f>Model!$B$2*Assumptions!$B$10*2.0/Model!$B$4*20000</f>
        <v/>
      </c>
      <c r="D5" s="9">
        <f>Model!$B$2*Assumptions!$B$10*2.0/Model!$B$4*25000</f>
        <v/>
      </c>
      <c r="E5" s="9">
        <f>Model!$B$2*Assumptions!$B$10*2.0/Model!$B$4*30000</f>
        <v/>
      </c>
    </row>
    <row r="6">
      <c r="A6" s="2" t="n">
        <v>2.5</v>
      </c>
      <c r="B6" s="9">
        <f>Model!$B$2*Assumptions!$B$10*2.5/Model!$B$4*15000</f>
        <v/>
      </c>
      <c r="C6" s="9">
        <f>Model!$B$2*Assumptions!$B$10*2.5/Model!$B$4*20000</f>
        <v/>
      </c>
      <c r="D6" s="9">
        <f>Model!$B$2*Assumptions!$B$10*2.5/Model!$B$4*25000</f>
        <v/>
      </c>
      <c r="E6" s="9">
        <f>Model!$B$2*Assumptions!$B$10*2.5/Model!$B$4*30000</f>
        <v/>
      </c>
    </row>
    <row r="7">
      <c r="A7" s="2" t="n">
        <v>3</v>
      </c>
      <c r="B7" s="9">
        <f>Model!$B$2*Assumptions!$B$10*3.0/Model!$B$4*15000</f>
        <v/>
      </c>
      <c r="C7" s="9">
        <f>Model!$B$2*Assumptions!$B$10*3.0/Model!$B$4*20000</f>
        <v/>
      </c>
      <c r="D7" s="9">
        <f>Model!$B$2*Assumptions!$B$10*3.0/Model!$B$4*25000</f>
        <v/>
      </c>
      <c r="E7" s="9">
        <f>Model!$B$2*Assumptions!$B$10*3.0/Model!$B$4*30000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2" customWidth="1" min="3" max="3"/>
    <col width="90" customWidth="1" min="4" max="4"/>
  </cols>
  <sheetData>
    <row r="1">
      <c r="A1" s="1" t="inlineStr">
        <is>
          <t>Internal budget request (instructor: frame as an internal team asking for budget)</t>
        </is>
      </c>
      <c r="B1" s="1" t="inlineStr">
        <is>
          <t>EGP</t>
        </is>
      </c>
      <c r="C1" s="1" t="inlineStr"/>
      <c r="D1" s="1" t="inlineStr">
        <is>
          <t>Basis</t>
        </is>
      </c>
    </row>
    <row r="2">
      <c r="A2" s="2" t="inlineStr">
        <is>
          <t>Year 1 budget: build + 12 months of running</t>
        </is>
      </c>
      <c r="B2" s="9">
        <f>Assumptions!$B$15+12*(Assumptions!$B$14+Model!B11)</f>
        <v/>
      </c>
      <c r="C2" s="2" t="inlineStr"/>
      <c r="D2" s="2" t="inlineStr">
        <is>
          <t>Assumptions + Model sheets</t>
        </is>
      </c>
    </row>
    <row r="3">
      <c r="A3" s="2" t="inlineStr">
        <is>
          <t xml:space="preserve">  of which one-off build</t>
        </is>
      </c>
      <c r="B3" s="9">
        <f>Assumptions!$B$15</f>
        <v/>
      </c>
      <c r="C3" s="2" t="inlineStr"/>
      <c r="D3" s="2" t="inlineStr">
        <is>
          <t>4 people x 3 months</t>
        </is>
      </c>
    </row>
    <row r="4">
      <c r="A4" s="2" t="inlineStr">
        <is>
          <t xml:space="preserve">  of which running cost per month</t>
        </is>
      </c>
      <c r="B4" s="9">
        <f>Assumptions!$B$14+Model!B11</f>
        <v/>
      </c>
      <c r="C4" s="2" t="inlineStr"/>
      <c r="D4" s="2" t="inlineStr">
        <is>
          <t>in-country hosting + measured model cost</t>
        </is>
      </c>
    </row>
    <row r="5">
      <c r="A5" s="2" t="inlineStr">
        <is>
          <t>All-in cost per assisted contact</t>
        </is>
      </c>
      <c r="B5" s="9">
        <f>(Assumptions!$B$14+Model!B11)/(Model!B2*Assumptions!$B$10)</f>
        <v/>
      </c>
      <c r="C5" s="2" t="inlineStr"/>
      <c r="D5" s="2" t="inlineStr">
        <is>
          <t>running cost / assisted contacts</t>
        </is>
      </c>
    </row>
    <row r="6">
      <c r="A6" s="2" t="inlineStr">
        <is>
          <t>Agent cost per contact today</t>
        </is>
      </c>
      <c r="B6" s="9">
        <f>Model!B13</f>
        <v/>
      </c>
      <c r="C6" s="2" t="inlineStr"/>
      <c r="D6" s="2" t="inlineStr">
        <is>
          <t>for comparison</t>
        </is>
      </c>
    </row>
    <row r="7">
      <c r="A7" s="2" t="inlineStr">
        <is>
          <t>Year 1 value</t>
        </is>
      </c>
      <c r="B7" s="9">
        <f>Model!B19</f>
        <v/>
      </c>
      <c r="C7" s="2" t="inlineStr"/>
      <c r="D7" s="2" t="inlineStr">
        <is>
          <t>freed agent capacity, Phase 1 + Phase 2</t>
        </is>
      </c>
    </row>
    <row r="8">
      <c r="A8" s="2" t="inlineStr">
        <is>
          <t>Year 1 net</t>
        </is>
      </c>
      <c r="B8" s="9">
        <f>Model!B21</f>
        <v/>
      </c>
      <c r="C8" s="2" t="inlineStr"/>
      <c r="D8" s="2" t="inlineStr">
        <is>
          <t>value - budget</t>
        </is>
      </c>
    </row>
    <row r="9">
      <c r="A9" s="2" t="n"/>
      <c r="B9" s="9" t="n"/>
      <c r="C9" s="2" t="n"/>
      <c r="D9" s="2" t="n"/>
    </row>
    <row r="10">
      <c r="A10" s="1" t="inlineStr">
        <is>
          <t>Build vs buy: what the same 120 seats would cost from a vendor</t>
        </is>
      </c>
      <c r="B10" s="10" t="inlineStr">
        <is>
          <t>EGP / month</t>
        </is>
      </c>
      <c r="C10" s="1" t="inlineStr"/>
      <c r="D10" s="1" t="inlineStr">
        <is>
          <t>Why we still build</t>
        </is>
      </c>
    </row>
    <row r="11">
      <c r="A11" s="2" t="inlineStr">
        <is>
          <t>Intercom Copilot, $29 / agent / month</t>
        </is>
      </c>
      <c r="B11" s="9">
        <f>29*Assumptions!$B$13*Assumptions!$B$5</f>
        <v/>
      </c>
      <c r="C11" s="2" t="inlineStr"/>
      <c r="D11" s="2" t="inlineStr">
        <is>
          <t>No Egyptian Arabic or Franco-Arabic; hosted abroad (bank secrecy blocks customer data)</t>
        </is>
      </c>
    </row>
    <row r="12">
      <c r="A12" s="2" t="inlineStr">
        <is>
          <t>Zendesk Copilot, $50 / agent / month</t>
        </is>
      </c>
      <c r="B12" s="9">
        <f>50*Assumptions!$B$13*Assumptions!$B$5</f>
        <v/>
      </c>
      <c r="C12" s="2" t="inlineStr"/>
      <c r="D12" s="2" t="inlineStr">
        <is>
          <t>Same; also needs Zendesk as the helpdesk</t>
        </is>
      </c>
    </row>
    <row r="13">
      <c r="A13" s="2" t="inlineStr">
        <is>
          <t>Microsoft D365 Contact Center, $110 / user / month</t>
        </is>
      </c>
      <c r="B13" s="9">
        <f>110*Assumptions!$B$13*Assumptions!$B$5</f>
        <v/>
      </c>
      <c r="C13" s="2" t="inlineStr"/>
      <c r="D13" s="2" t="inlineStr">
        <is>
          <t>Full platform replacement, not just a copilot</t>
        </is>
      </c>
    </row>
    <row r="14">
      <c r="A14" s="2" t="inlineStr">
        <is>
          <t>Phase 2 benchmark: Intercom Fin, $0.99 / resolution</t>
        </is>
      </c>
      <c r="B14" s="9">
        <f>0.99*Assumptions!$B$13*Model!C15</f>
        <v/>
      </c>
      <c r="C14" s="2" t="inlineStr"/>
      <c r="D14" s="2" t="inlineStr">
        <is>
          <t>Customer-facing; offshore hosting</t>
        </is>
      </c>
    </row>
    <row r="15">
      <c r="A15" s="2" t="inlineStr">
        <is>
          <t>Source: research/competitors.md, list prices checked 30 Oct 2026, USD 1 = EGP 56.12</t>
        </is>
      </c>
      <c r="B15" s="2" t="n"/>
      <c r="C15" s="2" t="n"/>
      <c r="D1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2026-10-31T10:37:07Z</dcterms:created>
  <dcterms:modified xsi:type="dcterms:W3CDTF">2026-10-31T10:37:07Z</dcterms:modified>
</cp:coreProperties>
</file>